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0.0.30\Civil\03 - STD TEKLA\ref\"/>
    </mc:Choice>
  </mc:AlternateContent>
  <xr:revisionPtr revIDLastSave="0" documentId="8_{B7514C48-8C44-466A-A61A-FFB12C255A93}" xr6:coauthVersionLast="47" xr6:coauthVersionMax="47" xr10:uidLastSave="{00000000-0000-0000-0000-000000000000}"/>
  <bookViews>
    <workbookView xWindow="-120" yWindow="-120" windowWidth="29040" windowHeight="15720" xr2:uid="{EBDBC683-DB32-4CB9-8021-BFD0C5F2DE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19" i="1"/>
  <c r="F4" i="1"/>
  <c r="F5" i="1"/>
  <c r="F6" i="1"/>
  <c r="F7" i="1"/>
  <c r="F8" i="1"/>
  <c r="F9" i="1"/>
  <c r="F10" i="1"/>
  <c r="F11" i="1"/>
  <c r="F12" i="1"/>
  <c r="F13" i="1"/>
  <c r="F14" i="1"/>
  <c r="F15" i="1"/>
  <c r="F3" i="1"/>
  <c r="E4" i="1" a="1"/>
  <c r="E4" i="1"/>
  <c r="E5" i="1" a="1"/>
  <c r="E5" i="1" s="1"/>
  <c r="E6" i="1" a="1"/>
  <c r="E6" i="1"/>
  <c r="E7" i="1" a="1"/>
  <c r="E7" i="1" s="1"/>
  <c r="E8" i="1" a="1"/>
  <c r="E8" i="1"/>
  <c r="E9" i="1" a="1"/>
  <c r="E9" i="1" s="1"/>
  <c r="E10" i="1" a="1"/>
  <c r="E10" i="1"/>
  <c r="E11" i="1" a="1"/>
  <c r="E11" i="1"/>
  <c r="E12" i="1" a="1"/>
  <c r="E12" i="1"/>
  <c r="E13" i="1" a="1"/>
  <c r="E13" i="1" s="1"/>
  <c r="E14" i="1" a="1"/>
  <c r="E14" i="1"/>
  <c r="E15" i="1" a="1"/>
  <c r="E15" i="1"/>
  <c r="E3" i="1" a="1"/>
  <c r="E3" i="1" s="1"/>
  <c r="E20" i="1" a="1"/>
  <c r="E20" i="1" s="1"/>
  <c r="E21" i="1" a="1"/>
  <c r="E21" i="1" s="1"/>
  <c r="E22" i="1" a="1"/>
  <c r="E22" i="1" s="1"/>
  <c r="E23" i="1" a="1"/>
  <c r="E23" i="1"/>
  <c r="E24" i="1" a="1"/>
  <c r="E24" i="1" s="1"/>
  <c r="E25" i="1" a="1"/>
  <c r="E25" i="1" s="1"/>
  <c r="E26" i="1" a="1"/>
  <c r="E26" i="1"/>
  <c r="E27" i="1" a="1"/>
  <c r="E27" i="1"/>
  <c r="E28" i="1" a="1"/>
  <c r="E28" i="1" s="1"/>
  <c r="E29" i="1" a="1"/>
  <c r="E29" i="1" s="1"/>
  <c r="E30" i="1" a="1"/>
  <c r="E30" i="1"/>
  <c r="E31" i="1" a="1"/>
  <c r="E31" i="1"/>
  <c r="E32" i="1" a="1"/>
  <c r="E32" i="1" s="1"/>
  <c r="E33" i="1" a="1"/>
  <c r="E33" i="1" s="1"/>
  <c r="E34" i="1" a="1"/>
  <c r="E34" i="1"/>
  <c r="E35" i="1" a="1"/>
  <c r="E35" i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 s="1"/>
  <c r="E19" i="1" a="1"/>
  <c r="E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<sst xmlns="http://schemas.openxmlformats.org/spreadsheetml/2006/main" count="165" uniqueCount="96">
  <si>
    <t>L2-1/2X2-1/2X1/4</t>
  </si>
  <si>
    <t>L25254</t>
  </si>
  <si>
    <t>L3X3X1/4</t>
  </si>
  <si>
    <t>L30304</t>
  </si>
  <si>
    <t>L2X2X1/4</t>
  </si>
  <si>
    <t>L20204</t>
  </si>
  <si>
    <t>L2-1/2X2-1/2X3/16</t>
  </si>
  <si>
    <t>L2-1/2X2-1/2X5/16</t>
  </si>
  <si>
    <t>L2X2X3/16</t>
  </si>
  <si>
    <t>L20203</t>
  </si>
  <si>
    <t>L25253</t>
  </si>
  <si>
    <t>L25255</t>
  </si>
  <si>
    <t>L3X3X3/16</t>
  </si>
  <si>
    <t>L30303</t>
  </si>
  <si>
    <t>L3X3X5/16</t>
  </si>
  <si>
    <t>L3X3X3/8</t>
  </si>
  <si>
    <t>L30305</t>
  </si>
  <si>
    <t>L30306</t>
  </si>
  <si>
    <t>L4X4X3/8</t>
  </si>
  <si>
    <t>L40406</t>
  </si>
  <si>
    <t>L4X4X7/16</t>
  </si>
  <si>
    <t>L40407</t>
  </si>
  <si>
    <t>L5X5X7/16</t>
  </si>
  <si>
    <t>L5X5X1/2</t>
  </si>
  <si>
    <t>L50507</t>
  </si>
  <si>
    <t>L50508</t>
  </si>
  <si>
    <t>LD L2X2X3/16</t>
  </si>
  <si>
    <t>SD L2X2X3/16</t>
  </si>
  <si>
    <t>LD L2X2X1/4</t>
  </si>
  <si>
    <t>SD L2X2X1/4</t>
  </si>
  <si>
    <t>LD L2-1/2X2-1/2X3/16</t>
  </si>
  <si>
    <t>SD L2-1/2X2-1/2X3/16</t>
  </si>
  <si>
    <t>LD L2-1/2X2-1/2X1/4</t>
  </si>
  <si>
    <t>SD L2-1/2X2-1/2X1/4</t>
  </si>
  <si>
    <t>LD L2-1/2X2-1/2X5/16</t>
  </si>
  <si>
    <t>SD L2-1/2X2-1/2X5/16</t>
  </si>
  <si>
    <t>LD L3X3X3/16</t>
  </si>
  <si>
    <t>SD L3X3X3/16</t>
  </si>
  <si>
    <t>LD L3X3X1/4</t>
  </si>
  <si>
    <t>SD L3X3X1/4</t>
  </si>
  <si>
    <t>LD L3X3X5/16</t>
  </si>
  <si>
    <t>SD L3X3X5/16</t>
  </si>
  <si>
    <t>LD L3X3X3/8</t>
  </si>
  <si>
    <t>SD L3X3X3/8</t>
  </si>
  <si>
    <t>LD L4X4X3/8</t>
  </si>
  <si>
    <t>SD L4X4X3/8</t>
  </si>
  <si>
    <t>LD L4X4X7/16</t>
  </si>
  <si>
    <t>SD L4X4X7/16</t>
  </si>
  <si>
    <t>LD L5X5X7/16</t>
  </si>
  <si>
    <t>SD L5X5X7/16</t>
  </si>
  <si>
    <t>LD L5X5X1/2</t>
  </si>
  <si>
    <t>SD L5X5X1/2</t>
  </si>
  <si>
    <t>!TEKLA</t>
  </si>
  <si>
    <t>!STAAD</t>
  </si>
  <si>
    <t>!ÁNGULOS AMERICANOS</t>
  </si>
  <si>
    <t>!ÁNGULOS COMPUESTOS</t>
  </si>
  <si>
    <t>BENDED_L</t>
  </si>
  <si>
    <t>BENDED_L50.8*50.8*4.8</t>
  </si>
  <si>
    <t>BENDED_L50.8*50.8*6.4</t>
  </si>
  <si>
    <t>BENDED_L63.5*63.5*4.8</t>
  </si>
  <si>
    <t>BENDED_L63.5*63.5*6.4</t>
  </si>
  <si>
    <t>BENDED_L63.5*63.5*8</t>
  </si>
  <si>
    <t>BENDED_L76.2*76.2*4.8</t>
  </si>
  <si>
    <t>BENDED_L76.2*76.2*6.4</t>
  </si>
  <si>
    <t>BENDED_L76.2*76.2*8</t>
  </si>
  <si>
    <t>BENDED_L76.2*76.2*9.6</t>
  </si>
  <si>
    <t>BENDED_L101.6*101.6*9.6</t>
  </si>
  <si>
    <t>BENDED_L101.6*101.6*11.2</t>
  </si>
  <si>
    <t>BENDED_L127*127*11.2</t>
  </si>
  <si>
    <t>BENDED_L127*127*12.7</t>
  </si>
  <si>
    <t>LD BENDED_L50.8*50.8*4.8</t>
  </si>
  <si>
    <t>SD BENDED_L50.8*50.8*4.8</t>
  </si>
  <si>
    <t>LD BENDED_L50.8*50.8*6.4</t>
  </si>
  <si>
    <t>SD BENDED_L50.8*50.8*6.4</t>
  </si>
  <si>
    <t>LD BENDED_L63.5*63.5*4.8</t>
  </si>
  <si>
    <t>SD BENDED_L63.5*63.5*4.8</t>
  </si>
  <si>
    <t>LD BENDED_L63.5*63.5*6.4</t>
  </si>
  <si>
    <t>SD BENDED_L63.5*63.5*6.4</t>
  </si>
  <si>
    <t>LD BENDED_L63.5*63.5*8</t>
  </si>
  <si>
    <t>SD BENDED_L63.5*63.5*8</t>
  </si>
  <si>
    <t>LD BENDED_L76.2*76.2*4.8</t>
  </si>
  <si>
    <t>SD BENDED_L76.2*76.2*4.8</t>
  </si>
  <si>
    <t>LD BENDED_L76.2*76.2*6.4</t>
  </si>
  <si>
    <t>SD BENDED_L76.2*76.2*6.4</t>
  </si>
  <si>
    <t>LD BENDED_L76.2*76.2*8</t>
  </si>
  <si>
    <t>SD BENDED_L76.2*76.2*8</t>
  </si>
  <si>
    <t>LD BENDED_L76.2*76.2*9.6</t>
  </si>
  <si>
    <t>SD BENDED_L76.2*76.2*9.6</t>
  </si>
  <si>
    <t>LD BENDED_L101.6*101.6*9.6</t>
  </si>
  <si>
    <t>SD BENDED_L101.6*101.6*9.6</t>
  </si>
  <si>
    <t>LD BENDED_L101.6*101.6*11.2</t>
  </si>
  <si>
    <t>SD BENDED_L101.6*101.6*11.2</t>
  </si>
  <si>
    <t>LD BENDED_L127*127*11.2</t>
  </si>
  <si>
    <t>SD BENDED_L127*127*11.2</t>
  </si>
  <si>
    <t>LD BENDED_L127*127*12.7</t>
  </si>
  <si>
    <t>SD BENDED_L127*127*12.7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</si>
</sst>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82F-027F-4D80-BB28-3EFDBB69F799}">
  <dimension ref="C1:J44"/>
  <sheetViews>
    <sheetView tabSelected="1" workbookViewId="0">
      <selection activeCell="E19" sqref="E19"/>
    </sheetView>
  </sheetViews>
  <sheetFormatPr defaultColWidth="11.42578125" defaultRowHeight="15" x14ac:dyDescent="0.25"/>
  <cols>
    <col min="3" max="3" width="21.5703125" customWidth="1"/>
    <col min="4" max="4" width="22.85546875" customWidth="1"/>
    <col min="5" max="5" width="15.7109375" bestFit="1" customWidth="1"/>
    <col min="9" max="9" width="24.85546875" bestFit="1" customWidth="1"/>
  </cols>
  <sheetData>
    <row r="1" spans="3:10" x14ac:dyDescent="0.25">
      <c r="C1" t="s">
        <v>52</v>
      </c>
      <c r="D1" t="s">
        <v>53</v>
      </c>
      <c r="I1" t="s">
        <v>52</v>
      </c>
      <c r="J1" t="s">
        <v>53</v>
      </c>
    </row>
    <row r="2" spans="3:10" x14ac:dyDescent="0.25">
      <c r="C2" t="s">
        <v>54</v>
      </c>
      <c r="I2" t="s">
        <v>54</v>
      </c>
      <c r="J2" t="s">
        <v>9</v>
      </c>
    </row>
    <row r="3" spans="3:10" x14ac:dyDescent="0.25">
      <c r="C3" t="s">
        <v>8</v>
      </c>
      <c r="D3" t="s">
        <v>9</v>
      </c>
      <c r="E3" t="str" cm="1">
        <f t="array" ref="E3">+_xlfn.CONCAT(ROUNDUP(MID(D3:D3,2,2)*2.54,1),"*",ROUNDUP(MID(D3:D3,2,2)*2.54,1),"*",ROUNDUP(MID(D3:D3,6,1)*25.4/16,1))</f>
        <v>50.8*50.8*4.8</v>
      </c>
      <c r="F3" t="str">
        <f>+_xlfn.CONCAT($E$18,E3)</f>
        <v>BENDED_L50.8*50.8*4.8</v>
      </c>
      <c r="I3" t="s">
        <v>57</v>
      </c>
      <c r="J3" t="s">
        <v>5</v>
      </c>
    </row>
    <row r="4" spans="3:10" x14ac:dyDescent="0.25">
      <c r="C4" t="s">
        <v>4</v>
      </c>
      <c r="D4" t="s">
        <v>5</v>
      </c>
      <c r="E4" t="str" cm="1">
        <f t="array" ref="E4">+_xlfn.CONCAT(ROUNDUP(MID(D4:D4,2,2)*2.54,1),"*",ROUNDUP(MID(D4:D4,2,2)*2.54,1),"*",ROUNDUP(MID(D4:D4,6,1)*25.4/16,1))</f>
        <v>50.8*50.8*6.4</v>
      </c>
      <c r="F4" t="str">
        <f t="shared" ref="F4:F15" si="0">+_xlfn.CONCAT($E$18,E4)</f>
        <v>BENDED_L50.8*50.8*6.4</v>
      </c>
      <c r="I4" t="s">
        <v>58</v>
      </c>
      <c r="J4" t="s">
        <v>10</v>
      </c>
    </row>
    <row r="5" spans="3:10" x14ac:dyDescent="0.25">
      <c r="C5" t="s">
        <v>6</v>
      </c>
      <c r="D5" t="s">
        <v>10</v>
      </c>
      <c r="E5" t="str" cm="1">
        <f t="array" ref="E5">+_xlfn.CONCAT(ROUNDUP(MID(D5:D5,2,2)*2.54,1),"*",ROUNDUP(MID(D5:D5,2,2)*2.54,1),"*",ROUNDUP(MID(D5:D5,6,1)*25.4/16,1))</f>
        <v>63.5*63.5*4.8</v>
      </c>
      <c r="F5" t="str">
        <f t="shared" si="0"/>
        <v>BENDED_L63.5*63.5*4.8</v>
      </c>
      <c r="I5" t="s">
        <v>59</v>
      </c>
      <c r="J5" t="s">
        <v>1</v>
      </c>
    </row>
    <row r="6" spans="3:10" x14ac:dyDescent="0.25">
      <c r="C6" t="s">
        <v>0</v>
      </c>
      <c r="D6" t="s">
        <v>1</v>
      </c>
      <c r="E6" t="str" cm="1">
        <f t="array" ref="E6">+_xlfn.CONCAT(ROUNDUP(MID(D6:D6,2,2)*2.54,1),"*",ROUNDUP(MID(D6:D6,2,2)*2.54,1),"*",ROUNDUP(MID(D6:D6,6,1)*25.4/16,1))</f>
        <v>63.5*63.5*6.4</v>
      </c>
      <c r="F6" t="str">
        <f t="shared" si="0"/>
        <v>BENDED_L63.5*63.5*6.4</v>
      </c>
      <c r="I6" t="s">
        <v>60</v>
      </c>
      <c r="J6" t="s">
        <v>11</v>
      </c>
    </row>
    <row r="7" spans="3:10" x14ac:dyDescent="0.25">
      <c r="C7" t="s">
        <v>7</v>
      </c>
      <c r="D7" t="s">
        <v>11</v>
      </c>
      <c r="E7" t="str" cm="1">
        <f t="array" ref="E7">+_xlfn.CONCAT(ROUNDUP(MID(D7:D7,2,2)*2.54,1),"*",ROUNDUP(MID(D7:D7,2,2)*2.54,1),"*",ROUNDUP(MID(D7:D7,6,1)*25.4/16,1))</f>
        <v>63.5*63.5*8</v>
      </c>
      <c r="F7" t="str">
        <f t="shared" si="0"/>
        <v>BENDED_L63.5*63.5*8</v>
      </c>
      <c r="I7" t="s">
        <v>61</v>
      </c>
      <c r="J7" t="s">
        <v>13</v>
      </c>
    </row>
    <row r="8" spans="3:10" x14ac:dyDescent="0.25">
      <c r="C8" t="s">
        <v>12</v>
      </c>
      <c r="D8" t="s">
        <v>13</v>
      </c>
      <c r="E8" t="str" cm="1">
        <f t="array" ref="E8">+_xlfn.CONCAT(ROUNDUP(MID(D8:D8,2,2)*2.54,1),"*",ROUNDUP(MID(D8:D8,2,2)*2.54,1),"*",ROUNDUP(MID(D8:D8,6,1)*25.4/16,1))</f>
        <v>76.2*76.2*4.8</v>
      </c>
      <c r="F8" t="str">
        <f t="shared" si="0"/>
        <v>BENDED_L76.2*76.2*4.8</v>
      </c>
      <c r="I8" t="s">
        <v>62</v>
      </c>
      <c r="J8" t="s">
        <v>3</v>
      </c>
    </row>
    <row r="9" spans="3:10" x14ac:dyDescent="0.25">
      <c r="C9" t="s">
        <v>2</v>
      </c>
      <c r="D9" t="s">
        <v>3</v>
      </c>
      <c r="E9" t="str" cm="1">
        <f t="array" ref="E9">+_xlfn.CONCAT(ROUNDUP(MID(D9:D9,2,2)*2.54,1),"*",ROUNDUP(MID(D9:D9,2,2)*2.54,1),"*",ROUNDUP(MID(D9:D9,6,1)*25.4/16,1))</f>
        <v>76.2*76.2*6.4</v>
      </c>
      <c r="F9" t="str">
        <f t="shared" si="0"/>
        <v>BENDED_L76.2*76.2*6.4</v>
      </c>
      <c r="I9" t="s">
        <v>63</v>
      </c>
      <c r="J9" t="s">
        <v>16</v>
      </c>
    </row>
    <row r="10" spans="3:10" x14ac:dyDescent="0.25">
      <c r="C10" t="s">
        <v>14</v>
      </c>
      <c r="D10" t="s">
        <v>16</v>
      </c>
      <c r="E10" t="str" cm="1">
        <f t="array" ref="E10">+_xlfn.CONCAT(ROUNDUP(MID(D10:D10,2,2)*2.54,1),"*",ROUNDUP(MID(D10:D10,2,2)*2.54,1),"*",ROUNDUP(MID(D10:D10,6,1)*25.4/16,1))</f>
        <v>76.2*76.2*8</v>
      </c>
      <c r="F10" t="str">
        <f t="shared" si="0"/>
        <v>BENDED_L76.2*76.2*8</v>
      </c>
      <c r="I10" t="s">
        <v>64</v>
      </c>
      <c r="J10" t="s">
        <v>17</v>
      </c>
    </row>
    <row r="11" spans="3:10" x14ac:dyDescent="0.25">
      <c r="C11" t="s">
        <v>15</v>
      </c>
      <c r="D11" t="s">
        <v>17</v>
      </c>
      <c r="E11" t="str" cm="1">
        <f t="array" ref="E11">+_xlfn.CONCAT(ROUNDUP(MID(D11:D11,2,2)*2.54,1),"*",ROUNDUP(MID(D11:D11,2,2)*2.54,1),"*",ROUNDUP(MID(D11:D11,6,1)*25.4/16,1))</f>
        <v>76.2*76.2*9.6</v>
      </c>
      <c r="F11" t="str">
        <f t="shared" si="0"/>
        <v>BENDED_L76.2*76.2*9.6</v>
      </c>
      <c r="I11" t="s">
        <v>65</v>
      </c>
      <c r="J11" t="s">
        <v>19</v>
      </c>
    </row>
    <row r="12" spans="3:10" x14ac:dyDescent="0.25">
      <c r="C12" t="s">
        <v>18</v>
      </c>
      <c r="D12" t="s">
        <v>19</v>
      </c>
      <c r="E12" t="str" cm="1">
        <f t="array" ref="E12">+_xlfn.CONCAT(ROUNDUP(MID(D12:D12,2,2)*2.54,1),"*",ROUNDUP(MID(D12:D12,2,2)*2.54,1),"*",ROUNDUP(MID(D12:D12,6,1)*25.4/16,1))</f>
        <v>101.6*101.6*9.6</v>
      </c>
      <c r="F12" t="str">
        <f t="shared" si="0"/>
        <v>BENDED_L101.6*101.6*9.6</v>
      </c>
      <c r="I12" t="s">
        <v>66</v>
      </c>
      <c r="J12" t="s">
        <v>21</v>
      </c>
    </row>
    <row r="13" spans="3:10" x14ac:dyDescent="0.25">
      <c r="C13" t="s">
        <v>20</v>
      </c>
      <c r="D13" t="s">
        <v>21</v>
      </c>
      <c r="E13" t="str" cm="1">
        <f t="array" ref="E13">+_xlfn.CONCAT(ROUNDUP(MID(D13:D13,2,2)*2.54,1),"*",ROUNDUP(MID(D13:D13,2,2)*2.54,1),"*",ROUNDUP(MID(D13:D13,6,1)*25.4/16,1))</f>
        <v>101.6*101.6*11.2</v>
      </c>
      <c r="F13" t="str">
        <f t="shared" si="0"/>
        <v>BENDED_L101.6*101.6*11.2</v>
      </c>
      <c r="I13" t="s">
        <v>67</v>
      </c>
      <c r="J13" t="s">
        <v>24</v>
      </c>
    </row>
    <row r="14" spans="3:10" x14ac:dyDescent="0.25">
      <c r="C14" t="s">
        <v>22</v>
      </c>
      <c r="D14" t="s">
        <v>24</v>
      </c>
      <c r="E14" t="str" cm="1">
        <f t="array" ref="E14">+_xlfn.CONCAT(ROUNDUP(MID(D14:D14,2,2)*2.54,1),"*",ROUNDUP(MID(D14:D14,2,2)*2.54,1),"*",ROUNDUP(MID(D14:D14,6,1)*25.4/16,1))</f>
        <v>127*127*11.2</v>
      </c>
      <c r="F14" t="str">
        <f t="shared" si="0"/>
        <v>BENDED_L127*127*11.2</v>
      </c>
      <c r="I14" t="s">
        <v>68</v>
      </c>
      <c r="J14" t="s">
        <v>25</v>
      </c>
    </row>
    <row r="15" spans="3:10" x14ac:dyDescent="0.25">
      <c r="C15" t="s">
        <v>23</v>
      </c>
      <c r="D15" t="s">
        <v>25</v>
      </c>
      <c r="E15" t="str" cm="1">
        <f t="array" ref="E15">+_xlfn.CONCAT(ROUNDUP(MID(D15:D15,2,2)*2.54,1),"*",ROUNDUP(MID(D15:D15,2,2)*2.54,1),"*",ROUNDUP(MID(D15:D15,6,1)*25.4/16,1))</f>
        <v>127*127*12.7</v>
      </c>
      <c r="F15" t="str">
        <f t="shared" si="0"/>
        <v>BENDED_L127*127*12.7</v>
      </c>
      <c r="I15" t="s">
        <v>69</v>
      </c>
    </row>
    <row r="17" spans="3:10" x14ac:dyDescent="0.25">
      <c r="C17" t="s">
        <v>55</v>
      </c>
      <c r="I17" t="s">
        <v>55</v>
      </c>
    </row>
    <row r="18" spans="3:10" x14ac:dyDescent="0.25">
      <c r="E18" t="s">
        <v>56</v>
      </c>
    </row>
    <row r="19" spans="3:10" x14ac:dyDescent="0.25">
      <c r="C19" t="s">
        <v>26</v>
      </c>
      <c r="D19" t="s">
        <v>9</v>
      </c>
      <c r="E19" t="str" cm="1">
        <f t="array" ref="E19">+_xlfn.CONCAT(ROUNDUP(MID(D19:D19,2,2)*2.54,1),"*",ROUNDUP(MID(D19:D19,2,2)*2.54,1),"*",ROUNDUP(MID(D19:D19,6,1)*25.4/16,1))</f>
        <v>50.8*50.8*4.8</v>
      </c>
      <c r="F19" t="str">
        <f>+_xlfn.CONCAT(MID(C19,1,2)," ",$E$18,E19)</f>
        <v>LD BENDED_L50.8*50.8*4.8</v>
      </c>
      <c r="I19" t="s">
        <v>70</v>
      </c>
      <c r="J19" t="s">
        <v>9</v>
      </c>
    </row>
    <row r="20" spans="3:10" x14ac:dyDescent="0.25">
      <c r="C20" t="s">
        <v>27</v>
      </c>
      <c r="D20" t="s">
        <v>9</v>
      </c>
      <c r="E20" t="str" cm="1">
        <f t="array" ref="E20">+_xlfn.CONCAT(ROUNDUP(MID(D20:D20,2,2)*2.54,1),"*",ROUNDUP(MID(D20:D20,2,2)*2.54,1),"*",ROUNDUP(MID(D20:D20,6,1)*25.4/16,1))</f>
        <v>50.8*50.8*4.8</v>
      </c>
      <c r="F20" t="str">
        <f t="shared" ref="F20:F44" si="1">+_xlfn.CONCAT(MID(C20,1,2)," ",$E$18,E20)</f>
        <v>SD BENDED_L50.8*50.8*4.8</v>
      </c>
      <c r="I20" t="s">
        <v>71</v>
      </c>
      <c r="J20" t="s">
        <v>9</v>
      </c>
    </row>
    <row r="21" spans="3:10" x14ac:dyDescent="0.25">
      <c r="C21" t="s">
        <v>28</v>
      </c>
      <c r="D21" t="s">
        <v>5</v>
      </c>
      <c r="E21" t="str" cm="1">
        <f t="array" ref="E21">+_xlfn.CONCAT(ROUNDUP(MID(D21:D21,2,2)*2.54,1),"*",ROUNDUP(MID(D21:D21,2,2)*2.54,1),"*",ROUNDUP(MID(D21:D21,6,1)*25.4/16,1))</f>
        <v>50.8*50.8*6.4</v>
      </c>
      <c r="F21" t="str">
        <f t="shared" si="1"/>
        <v>LD BENDED_L50.8*50.8*6.4</v>
      </c>
      <c r="I21" t="s">
        <v>72</v>
      </c>
      <c r="J21" t="s">
        <v>5</v>
      </c>
    </row>
    <row r="22" spans="3:10" x14ac:dyDescent="0.25">
      <c r="C22" t="s">
        <v>29</v>
      </c>
      <c r="D22" t="s">
        <v>5</v>
      </c>
      <c r="E22" t="str" cm="1">
        <f t="array" ref="E22">+_xlfn.CONCAT(ROUNDUP(MID(D22:D22,2,2)*2.54,1),"*",ROUNDUP(MID(D22:D22,2,2)*2.54,1),"*",ROUNDUP(MID(D22:D22,6,1)*25.4/16,1))</f>
        <v>50.8*50.8*6.4</v>
      </c>
      <c r="F22" t="str">
        <f t="shared" si="1"/>
        <v>SD BENDED_L50.8*50.8*6.4</v>
      </c>
      <c r="I22" t="s">
        <v>73</v>
      </c>
      <c r="J22" t="s">
        <v>5</v>
      </c>
    </row>
    <row r="23" spans="3:10" x14ac:dyDescent="0.25">
      <c r="C23" t="s">
        <v>30</v>
      </c>
      <c r="D23" t="s">
        <v>10</v>
      </c>
      <c r="E23" t="str" cm="1">
        <f t="array" ref="E23">+_xlfn.CONCAT(ROUNDUP(MID(D23:D23,2,2)*2.54,1),"*",ROUNDUP(MID(D23:D23,2,2)*2.54,1),"*",ROUNDUP(MID(D23:D23,6,1)*25.4/16,1))</f>
        <v>63.5*63.5*4.8</v>
      </c>
      <c r="F23" t="str">
        <f t="shared" si="1"/>
        <v>LD BENDED_L63.5*63.5*4.8</v>
      </c>
      <c r="I23" t="s">
        <v>74</v>
      </c>
      <c r="J23" t="s">
        <v>10</v>
      </c>
    </row>
    <row r="24" spans="3:10" x14ac:dyDescent="0.25">
      <c r="C24" t="s">
        <v>31</v>
      </c>
      <c r="D24" t="s">
        <v>10</v>
      </c>
      <c r="E24" t="str" cm="1">
        <f t="array" ref="E24">+_xlfn.CONCAT(ROUNDUP(MID(D24:D24,2,2)*2.54,1),"*",ROUNDUP(MID(D24:D24,2,2)*2.54,1),"*",ROUNDUP(MID(D24:D24,6,1)*25.4/16,1))</f>
        <v>63.5*63.5*4.8</v>
      </c>
      <c r="F24" t="str">
        <f t="shared" si="1"/>
        <v>SD BENDED_L63.5*63.5*4.8</v>
      </c>
      <c r="I24" t="s">
        <v>75</v>
      </c>
      <c r="J24" t="s">
        <v>10</v>
      </c>
    </row>
    <row r="25" spans="3:10" x14ac:dyDescent="0.25">
      <c r="C25" t="s">
        <v>32</v>
      </c>
      <c r="D25" t="s">
        <v>1</v>
      </c>
      <c r="E25" t="str" cm="1">
        <f t="array" ref="E25">+_xlfn.CONCAT(ROUNDUP(MID(D25:D25,2,2)*2.54,1),"*",ROUNDUP(MID(D25:D25,2,2)*2.54,1),"*",ROUNDUP(MID(D25:D25,6,1)*25.4/16,1))</f>
        <v>63.5*63.5*6.4</v>
      </c>
      <c r="F25" t="str">
        <f t="shared" si="1"/>
        <v>LD BENDED_L63.5*63.5*6.4</v>
      </c>
      <c r="I25" t="s">
        <v>76</v>
      </c>
      <c r="J25" t="s">
        <v>1</v>
      </c>
    </row>
    <row r="26" spans="3:10" x14ac:dyDescent="0.25">
      <c r="C26" t="s">
        <v>33</v>
      </c>
      <c r="D26" t="s">
        <v>1</v>
      </c>
      <c r="E26" t="str" cm="1">
        <f t="array" ref="E26">+_xlfn.CONCAT(ROUNDUP(MID(D26:D26,2,2)*2.54,1),"*",ROUNDUP(MID(D26:D26,2,2)*2.54,1),"*",ROUNDUP(MID(D26:D26,6,1)*25.4/16,1))</f>
        <v>63.5*63.5*6.4</v>
      </c>
      <c r="F26" t="str">
        <f t="shared" si="1"/>
        <v>SD BENDED_L63.5*63.5*6.4</v>
      </c>
      <c r="I26" t="s">
        <v>77</v>
      </c>
      <c r="J26" t="s">
        <v>1</v>
      </c>
    </row>
    <row r="27" spans="3:10" x14ac:dyDescent="0.25">
      <c r="C27" t="s">
        <v>34</v>
      </c>
      <c r="D27" t="s">
        <v>11</v>
      </c>
      <c r="E27" t="str" cm="1">
        <f t="array" ref="E27">+_xlfn.CONCAT(ROUNDUP(MID(D27:D27,2,2)*2.54,1),"*",ROUNDUP(MID(D27:D27,2,2)*2.54,1),"*",ROUNDUP(MID(D27:D27,6,1)*25.4/16,1))</f>
        <v>63.5*63.5*8</v>
      </c>
      <c r="F27" t="str">
        <f t="shared" si="1"/>
        <v>LD BENDED_L63.5*63.5*8</v>
      </c>
      <c r="I27" t="s">
        <v>78</v>
      </c>
      <c r="J27" t="s">
        <v>11</v>
      </c>
    </row>
    <row r="28" spans="3:10" x14ac:dyDescent="0.25">
      <c r="C28" t="s">
        <v>35</v>
      </c>
      <c r="D28" t="s">
        <v>11</v>
      </c>
      <c r="E28" t="str" cm="1">
        <f t="array" ref="E28">+_xlfn.CONCAT(ROUNDUP(MID(D28:D28,2,2)*2.54,1),"*",ROUNDUP(MID(D28:D28,2,2)*2.54,1),"*",ROUNDUP(MID(D28:D28,6,1)*25.4/16,1))</f>
        <v>63.5*63.5*8</v>
      </c>
      <c r="F28" t="str">
        <f t="shared" si="1"/>
        <v>SD BENDED_L63.5*63.5*8</v>
      </c>
      <c r="I28" t="s">
        <v>79</v>
      </c>
      <c r="J28" t="s">
        <v>11</v>
      </c>
    </row>
    <row r="29" spans="3:10" x14ac:dyDescent="0.25">
      <c r="C29" t="s">
        <v>36</v>
      </c>
      <c r="D29" t="s">
        <v>13</v>
      </c>
      <c r="E29" t="str" cm="1">
        <f t="array" ref="E29">+_xlfn.CONCAT(ROUNDUP(MID(D29:D29,2,2)*2.54,1),"*",ROUNDUP(MID(D29:D29,2,2)*2.54,1),"*",ROUNDUP(MID(D29:D29,6,1)*25.4/16,1))</f>
        <v>76.2*76.2*4.8</v>
      </c>
      <c r="F29" t="str">
        <f t="shared" si="1"/>
        <v>LD BENDED_L76.2*76.2*4.8</v>
      </c>
      <c r="I29" t="s">
        <v>80</v>
      </c>
      <c r="J29" t="s">
        <v>13</v>
      </c>
    </row>
    <row r="30" spans="3:10" x14ac:dyDescent="0.25">
      <c r="C30" t="s">
        <v>37</v>
      </c>
      <c r="D30" t="s">
        <v>13</v>
      </c>
      <c r="E30" t="str" cm="1">
        <f t="array" ref="E30">+_xlfn.CONCAT(ROUNDUP(MID(D30:D30,2,2)*2.54,1),"*",ROUNDUP(MID(D30:D30,2,2)*2.54,1),"*",ROUNDUP(MID(D30:D30,6,1)*25.4/16,1))</f>
        <v>76.2*76.2*4.8</v>
      </c>
      <c r="F30" t="str">
        <f t="shared" si="1"/>
        <v>SD BENDED_L76.2*76.2*4.8</v>
      </c>
      <c r="I30" t="s">
        <v>81</v>
      </c>
      <c r="J30" t="s">
        <v>13</v>
      </c>
    </row>
    <row r="31" spans="3:10" x14ac:dyDescent="0.25">
      <c r="C31" t="s">
        <v>38</v>
      </c>
      <c r="D31" t="s">
        <v>3</v>
      </c>
      <c r="E31" t="str" cm="1">
        <f t="array" ref="E31">+_xlfn.CONCAT(ROUNDUP(MID(D31:D31,2,2)*2.54,1),"*",ROUNDUP(MID(D31:D31,2,2)*2.54,1),"*",ROUNDUP(MID(D31:D31,6,1)*25.4/16,1))</f>
        <v>76.2*76.2*6.4</v>
      </c>
      <c r="F31" t="str">
        <f t="shared" si="1"/>
        <v>LD BENDED_L76.2*76.2*6.4</v>
      </c>
      <c r="I31" t="s">
        <v>82</v>
      </c>
      <c r="J31" t="s">
        <v>3</v>
      </c>
    </row>
    <row r="32" spans="3:10" x14ac:dyDescent="0.25">
      <c r="C32" t="s">
        <v>39</v>
      </c>
      <c r="D32" t="s">
        <v>3</v>
      </c>
      <c r="E32" t="str" cm="1">
        <f t="array" ref="E32">+_xlfn.CONCAT(ROUNDUP(MID(D32:D32,2,2)*2.54,1),"*",ROUNDUP(MID(D32:D32,2,2)*2.54,1),"*",ROUNDUP(MID(D32:D32,6,1)*25.4/16,1))</f>
        <v>76.2*76.2*6.4</v>
      </c>
      <c r="F32" t="str">
        <f t="shared" si="1"/>
        <v>SD BENDED_L76.2*76.2*6.4</v>
      </c>
      <c r="I32" t="s">
        <v>83</v>
      </c>
      <c r="J32" t="s">
        <v>3</v>
      </c>
    </row>
    <row r="33" spans="3:10" x14ac:dyDescent="0.25">
      <c r="C33" t="s">
        <v>40</v>
      </c>
      <c r="D33" t="s">
        <v>16</v>
      </c>
      <c r="E33" t="str" cm="1">
        <f t="array" ref="E33">+_xlfn.CONCAT(ROUNDUP(MID(D33:D33,2,2)*2.54,1),"*",ROUNDUP(MID(D33:D33,2,2)*2.54,1),"*",ROUNDUP(MID(D33:D33,6,1)*25.4/16,1))</f>
        <v>76.2*76.2*8</v>
      </c>
      <c r="F33" t="str">
        <f t="shared" si="1"/>
        <v>LD BENDED_L76.2*76.2*8</v>
      </c>
      <c r="I33" t="s">
        <v>84</v>
      </c>
      <c r="J33" t="s">
        <v>16</v>
      </c>
    </row>
    <row r="34" spans="3:10" x14ac:dyDescent="0.25">
      <c r="C34" t="s">
        <v>41</v>
      </c>
      <c r="D34" t="s">
        <v>16</v>
      </c>
      <c r="E34" t="str" cm="1">
        <f t="array" ref="E34">+_xlfn.CONCAT(ROUNDUP(MID(D34:D34,2,2)*2.54,1),"*",ROUNDUP(MID(D34:D34,2,2)*2.54,1),"*",ROUNDUP(MID(D34:D34,6,1)*25.4/16,1))</f>
        <v>76.2*76.2*8</v>
      </c>
      <c r="F34" t="str">
        <f t="shared" si="1"/>
        <v>SD BENDED_L76.2*76.2*8</v>
      </c>
      <c r="I34" t="s">
        <v>85</v>
      </c>
      <c r="J34" t="s">
        <v>16</v>
      </c>
    </row>
    <row r="35" spans="3:10" x14ac:dyDescent="0.25">
      <c r="C35" t="s">
        <v>42</v>
      </c>
      <c r="D35" t="s">
        <v>17</v>
      </c>
      <c r="E35" t="str" cm="1">
        <f t="array" ref="E35">+_xlfn.CONCAT(ROUNDUP(MID(D35:D35,2,2)*2.54,1),"*",ROUNDUP(MID(D35:D35,2,2)*2.54,1),"*",ROUNDUP(MID(D35:D35,6,1)*25.4/16,1))</f>
        <v>76.2*76.2*9.6</v>
      </c>
      <c r="F35" t="str">
        <f t="shared" si="1"/>
        <v>LD BENDED_L76.2*76.2*9.6</v>
      </c>
      <c r="I35" t="s">
        <v>86</v>
      </c>
      <c r="J35" t="s">
        <v>17</v>
      </c>
    </row>
    <row r="36" spans="3:10" x14ac:dyDescent="0.25">
      <c r="C36" t="s">
        <v>43</v>
      </c>
      <c r="D36" t="s">
        <v>17</v>
      </c>
      <c r="E36" t="str" cm="1">
        <f t="array" ref="E36">+_xlfn.CONCAT(ROUNDUP(MID(D36:D36,2,2)*2.54,1),"*",ROUNDUP(MID(D36:D36,2,2)*2.54,1),"*",ROUNDUP(MID(D36:D36,6,1)*25.4/16,1))</f>
        <v>76.2*76.2*9.6</v>
      </c>
      <c r="F36" t="str">
        <f t="shared" si="1"/>
        <v>SD BENDED_L76.2*76.2*9.6</v>
      </c>
      <c r="I36" t="s">
        <v>87</v>
      </c>
      <c r="J36" t="s">
        <v>17</v>
      </c>
    </row>
    <row r="37" spans="3:10" x14ac:dyDescent="0.25">
      <c r="C37" t="s">
        <v>44</v>
      </c>
      <c r="D37" t="s">
        <v>19</v>
      </c>
      <c r="E37" t="str" cm="1">
        <f t="array" ref="E37">+_xlfn.CONCAT(ROUNDUP(MID(D37:D37,2,2)*2.54,1),"*",ROUNDUP(MID(D37:D37,2,2)*2.54,1),"*",ROUNDUP(MID(D37:D37,6,1)*25.4/16,1))</f>
        <v>101.6*101.6*9.6</v>
      </c>
      <c r="F37" t="str">
        <f t="shared" si="1"/>
        <v>LD BENDED_L101.6*101.6*9.6</v>
      </c>
      <c r="I37" t="s">
        <v>88</v>
      </c>
      <c r="J37" t="s">
        <v>19</v>
      </c>
    </row>
    <row r="38" spans="3:10" x14ac:dyDescent="0.25">
      <c r="C38" t="s">
        <v>45</v>
      </c>
      <c r="D38" t="s">
        <v>19</v>
      </c>
      <c r="E38" t="str" cm="1">
        <f t="array" ref="E38">+_xlfn.CONCAT(ROUNDUP(MID(D38:D38,2,2)*2.54,1),"*",ROUNDUP(MID(D38:D38,2,2)*2.54,1),"*",ROUNDUP(MID(D38:D38,6,1)*25.4/16,1))</f>
        <v>101.6*101.6*9.6</v>
      </c>
      <c r="F38" t="str">
        <f t="shared" si="1"/>
        <v>SD BENDED_L101.6*101.6*9.6</v>
      </c>
      <c r="I38" t="s">
        <v>89</v>
      </c>
      <c r="J38" t="s">
        <v>19</v>
      </c>
    </row>
    <row r="39" spans="3:10" x14ac:dyDescent="0.25">
      <c r="C39" t="s">
        <v>46</v>
      </c>
      <c r="D39" t="s">
        <v>21</v>
      </c>
      <c r="E39" t="str" cm="1">
        <f t="array" ref="E39">+_xlfn.CONCAT(ROUNDUP(MID(D39:D39,2,2)*2.54,1),"*",ROUNDUP(MID(D39:D39,2,2)*2.54,1),"*",ROUNDUP(MID(D39:D39,6,1)*25.4/16,1))</f>
        <v>101.6*101.6*11.2</v>
      </c>
      <c r="F39" t="str">
        <f t="shared" si="1"/>
        <v>LD BENDED_L101.6*101.6*11.2</v>
      </c>
      <c r="I39" t="s">
        <v>90</v>
      </c>
      <c r="J39" t="s">
        <v>21</v>
      </c>
    </row>
    <row r="40" spans="3:10" x14ac:dyDescent="0.25">
      <c r="C40" t="s">
        <v>47</v>
      </c>
      <c r="D40" t="s">
        <v>21</v>
      </c>
      <c r="E40" t="str" cm="1">
        <f t="array" ref="E40">+_xlfn.CONCAT(ROUNDUP(MID(D40:D40,2,2)*2.54,1),"*",ROUNDUP(MID(D40:D40,2,2)*2.54,1),"*",ROUNDUP(MID(D40:D40,6,1)*25.4/16,1))</f>
        <v>101.6*101.6*11.2</v>
      </c>
      <c r="F40" t="str">
        <f t="shared" si="1"/>
        <v>SD BENDED_L101.6*101.6*11.2</v>
      </c>
      <c r="I40" t="s">
        <v>91</v>
      </c>
      <c r="J40" t="s">
        <v>21</v>
      </c>
    </row>
    <row r="41" spans="3:10" x14ac:dyDescent="0.25">
      <c r="C41" t="s">
        <v>48</v>
      </c>
      <c r="D41" t="s">
        <v>24</v>
      </c>
      <c r="E41" t="str" cm="1">
        <f t="array" ref="E41">+_xlfn.CONCAT(ROUNDUP(MID(D41:D41,2,2)*2.54,1),"*",ROUNDUP(MID(D41:D41,2,2)*2.54,1),"*",ROUNDUP(MID(D41:D41,6,1)*25.4/16,1))</f>
        <v>127*127*11.2</v>
      </c>
      <c r="F41" t="str">
        <f t="shared" si="1"/>
        <v>LD BENDED_L127*127*11.2</v>
      </c>
      <c r="I41" t="s">
        <v>92</v>
      </c>
      <c r="J41" t="s">
        <v>24</v>
      </c>
    </row>
    <row r="42" spans="3:10" x14ac:dyDescent="0.25">
      <c r="C42" t="s">
        <v>49</v>
      </c>
      <c r="D42" t="s">
        <v>24</v>
      </c>
      <c r="E42" t="str" cm="1">
        <f t="array" ref="E42">+_xlfn.CONCAT(ROUNDUP(MID(D42:D42,2,2)*2.54,1),"*",ROUNDUP(MID(D42:D42,2,2)*2.54,1),"*",ROUNDUP(MID(D42:D42,6,1)*25.4/16,1))</f>
        <v>127*127*11.2</v>
      </c>
      <c r="F42" t="str">
        <f t="shared" si="1"/>
        <v>SD BENDED_L127*127*11.2</v>
      </c>
      <c r="I42" t="s">
        <v>93</v>
      </c>
      <c r="J42" t="s">
        <v>24</v>
      </c>
    </row>
    <row r="43" spans="3:10" x14ac:dyDescent="0.25">
      <c r="C43" t="s">
        <v>50</v>
      </c>
      <c r="D43" t="s">
        <v>25</v>
      </c>
      <c r="E43" t="str" cm="1">
        <f t="array" ref="E43">+_xlfn.CONCAT(ROUNDUP(MID(D43:D43,2,2)*2.54,1),"*",ROUNDUP(MID(D43:D43,2,2)*2.54,1),"*",ROUNDUP(MID(D43:D43,6,1)*25.4/16,1))</f>
        <v>127*127*12.7</v>
      </c>
      <c r="F43" t="str">
        <f t="shared" si="1"/>
        <v>LD BENDED_L127*127*12.7</v>
      </c>
      <c r="I43" t="s">
        <v>94</v>
      </c>
      <c r="J43" t="s">
        <v>25</v>
      </c>
    </row>
    <row r="44" spans="3:10" x14ac:dyDescent="0.25">
      <c r="C44" t="s">
        <v>51</v>
      </c>
      <c r="D44" t="s">
        <v>25</v>
      </c>
      <c r="E44" t="str" cm="1">
        <f t="array" ref="E44">+_xlfn.CONCAT(ROUNDUP(MID(D44:D44,2,2)*2.54,1),"*",ROUNDUP(MID(D44:D44,2,2)*2.54,1),"*",ROUNDUP(MID(D44:D44,6,1)*25.4/16,1))</f>
        <v>127*127*12.7</v>
      </c>
      <c r="F44" t="str">
        <f t="shared" si="1"/>
        <v>SD BENDED_L127*127*12.7</v>
      </c>
      <c r="I44" t="s">
        <v>95</v>
      </c>
      <c r="J4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Andres Otamendi - AGO</dc:creator>
  <cp:lastModifiedBy>Agustin Diez - 348 - AGD</cp:lastModifiedBy>
  <dcterms:created xsi:type="dcterms:W3CDTF">2024-12-09T19:22:58Z</dcterms:created>
  <dcterms:modified xsi:type="dcterms:W3CDTF">2026-04-08T19:41:48Z</dcterms:modified>
</cp:coreProperties>
</file>