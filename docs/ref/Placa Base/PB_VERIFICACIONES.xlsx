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0.10.0.30\Civil\03 - STD TEKLA\ref\Placa Base\"/>
    </mc:Choice>
  </mc:AlternateContent>
  <xr:revisionPtr revIDLastSave="0" documentId="13_ncr:1_{21D5DE00-D63E-450A-82E6-E4A747962B9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29" i="1"/>
  <c r="G24" i="1"/>
  <c r="G23" i="1"/>
  <c r="G22" i="1"/>
  <c r="G18" i="1"/>
  <c r="G17" i="1"/>
  <c r="G16" i="1"/>
  <c r="G15" i="1"/>
  <c r="G14" i="1"/>
  <c r="G13" i="1"/>
  <c r="G12" i="1"/>
  <c r="G26" i="1"/>
  <c r="G28" i="1"/>
  <c r="G27" i="1"/>
  <c r="G25" i="1"/>
  <c r="G21" i="1"/>
  <c r="G20" i="1"/>
  <c r="G19" i="1"/>
  <c r="G11" i="1"/>
  <c r="G10" i="1"/>
  <c r="G9" i="1"/>
  <c r="G8" i="1"/>
  <c r="G7" i="1"/>
  <c r="G6" i="1"/>
  <c r="G5" i="1"/>
  <c r="G4" i="1"/>
  <c r="G3" i="1"/>
  <c r="G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2" i="1"/>
</calcChain>
</file>

<file path=xl/sharedStrings.xml><?xml version="1.0" encoding="utf-8"?>
<sst xmlns="http://schemas.openxmlformats.org/spreadsheetml/2006/main" count="219" uniqueCount="50">
  <si>
    <t>Perfil</t>
  </si>
  <si>
    <t>Variante</t>
  </si>
  <si>
    <t>Etapa</t>
  </si>
  <si>
    <t>Placa (mm)</t>
  </si>
  <si>
    <t>D anclaje</t>
  </si>
  <si>
    <t>t placa (mm)</t>
  </si>
  <si>
    <t>h_ef (mm)</t>
  </si>
  <si>
    <t>Proy. sobre placa (mm)</t>
  </si>
  <si>
    <t>s1 (mm) // d</t>
  </si>
  <si>
    <t>s2 (mm) // bf</t>
  </si>
  <si>
    <t>Arand. 2° (mm)</t>
  </si>
  <si>
    <t>W6x15</t>
  </si>
  <si>
    <t>Articulada</t>
  </si>
  <si>
    <t>1°</t>
  </si>
  <si>
    <t>200x200</t>
  </si>
  <si>
    <t>3/4"</t>
  </si>
  <si>
    <t>No</t>
  </si>
  <si>
    <t>-</t>
  </si>
  <si>
    <t>2°</t>
  </si>
  <si>
    <t>75x75</t>
  </si>
  <si>
    <t>Empotrada</t>
  </si>
  <si>
    <t>300x300</t>
  </si>
  <si>
    <t>350x350</t>
  </si>
  <si>
    <t>W8x18</t>
  </si>
  <si>
    <t>250x250</t>
  </si>
  <si>
    <t>400x400</t>
  </si>
  <si>
    <t>W8x31</t>
  </si>
  <si>
    <t>W10x45</t>
  </si>
  <si>
    <t>1"</t>
  </si>
  <si>
    <t>100x100</t>
  </si>
  <si>
    <t>450x450</t>
  </si>
  <si>
    <t>W12x50</t>
  </si>
  <si>
    <t>W14x74</t>
  </si>
  <si>
    <t>HEB160</t>
  </si>
  <si>
    <t>HEB200</t>
  </si>
  <si>
    <t>250x200</t>
  </si>
  <si>
    <t>300x250</t>
  </si>
  <si>
    <t>350x300</t>
  </si>
  <si>
    <t>400x300</t>
  </si>
  <si>
    <t>450x350</t>
  </si>
  <si>
    <t>Preset</t>
  </si>
  <si>
    <t>s1 (mm) // redondeado</t>
  </si>
  <si>
    <t>s2 (mm) // redondeado</t>
  </si>
  <si>
    <t>UPN140C</t>
  </si>
  <si>
    <t>UPN180C</t>
  </si>
  <si>
    <t>UPN220C</t>
  </si>
  <si>
    <t>CHECK</t>
  </si>
  <si>
    <t>Rigidizadores (va componente esp)</t>
  </si>
  <si>
    <t>350x280</t>
  </si>
  <si>
    <t>400x350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</si>
</sst>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Arial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8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67052-7810-4CA1-9C70-F48FA2998CC0}" name="Table1" displayName="Table1" ref="A1:P30" totalsRowShown="0" headerRowDxfId="16" dataDxfId="15">
  <autoFilter ref="A1:P30" xr:uid="{E8367052-7810-4CA1-9C70-F48FA2998CC0}"/>
  <tableColumns count="16">
    <tableColumn id="1" xr3:uid="{F50DDB28-7D44-48CC-B5E4-97688A435C4B}" name="Perfil" dataDxfId="14"/>
    <tableColumn id="2" xr3:uid="{35C5EE2C-AEE7-4B69-9BF3-B2D0A827EA20}" name="Variante" dataDxfId="13"/>
    <tableColumn id="3" xr3:uid="{9D59C8AF-EDEB-44CE-AC7B-393F6F67F352}" name="Etapa" dataDxfId="12"/>
    <tableColumn id="4" xr3:uid="{2AB36A82-CB12-40DD-81A0-039A48826490}" name="Placa (mm)" dataDxfId="11"/>
    <tableColumn id="5" xr3:uid="{A2C839AD-2B0A-402A-9B8E-08E4937E9FE4}" name="D anclaje" dataDxfId="10"/>
    <tableColumn id="6" xr3:uid="{8C66F9C1-C32D-4CDD-867B-D238E01DFC92}" name="t placa (mm)" dataDxfId="9"/>
    <tableColumn id="7" xr3:uid="{B41F9EB9-8820-4BF0-80A3-5CAF811BEE17}" name="h_ef (mm)" dataDxfId="8"/>
    <tableColumn id="8" xr3:uid="{BFA1CBF2-CDCF-47DB-A0F5-B1641E80C69E}" name="Proy. sobre placa (mm)" dataDxfId="7"/>
    <tableColumn id="9" xr3:uid="{55D39B72-64CD-4D9A-BBE5-EC0082C4FBE7}" name="s1 (mm) // d" dataDxfId="6"/>
    <tableColumn id="10" xr3:uid="{231757F5-DDD4-45FE-8BA5-8AA9517A80A4}" name="s2 (mm) // bf" dataDxfId="5"/>
    <tableColumn id="16" xr3:uid="{77E3C361-ACB2-41B6-9E69-00B7E3E82790}" name="s1 (mm) // redondeado" dataDxfId="4"/>
    <tableColumn id="17" xr3:uid="{429B5AC0-DB41-4621-9EA4-3DA68D8031EB}" name="s2 (mm) // redondeado" dataDxfId="3"/>
    <tableColumn id="12" xr3:uid="{9F453753-33C9-42EB-840E-543FF93A5659}" name="Rigidizadores (va componente esp)" dataDxfId="2"/>
    <tableColumn id="13" xr3:uid="{9A662CA9-9573-4ACA-B72C-F671E53AB467}" name="Arand. 2° (mm)" dataDxfId="1"/>
    <tableColumn id="15" xr3:uid="{39D81073-7FBD-4316-A1E0-D3CD09A671CC}" name="Preset">
      <calculatedColumnFormula>+_xlfn.CONCAT(A2,"-",IF(B2="ARTICULADA","ART","EMP"),"-",C2)</calculatedColumnFormula>
    </tableColumn>
    <tableColumn id="11" xr3:uid="{98344727-E73D-4488-A582-40F4F1DFA3D3}" name="CHEC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zoomScale="130" zoomScaleNormal="130" workbookViewId="0">
      <pane ySplit="1" topLeftCell="A7" activePane="bottomLeft" state="frozen"/>
      <selection pane="bottomLeft" activeCell="A2" sqref="A2:XFD28"/>
    </sheetView>
  </sheetViews>
  <sheetFormatPr defaultRowHeight="15" x14ac:dyDescent="0.25"/>
  <cols>
    <col min="1" max="1" width="11.7109375" customWidth="1"/>
    <col min="2" max="2" width="12" customWidth="1"/>
    <col min="3" max="3" width="8.28515625" customWidth="1"/>
    <col min="4" max="4" width="13.5703125" customWidth="1"/>
    <col min="5" max="5" width="11.5703125" customWidth="1"/>
    <col min="6" max="6" width="14.7109375" customWidth="1"/>
    <col min="7" max="7" width="12.42578125" customWidth="1"/>
    <col min="8" max="8" width="25.42578125" customWidth="1"/>
    <col min="9" max="9" width="14.28515625" customWidth="1"/>
    <col min="10" max="12" width="14.85546875" customWidth="1"/>
    <col min="13" max="13" width="18.7109375" customWidth="1"/>
    <col min="14" max="14" width="17.42578125" customWidth="1"/>
    <col min="15" max="15" width="14.5703125" customWidth="1"/>
  </cols>
  <sheetData>
    <row r="1" spans="1:16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41</v>
      </c>
      <c r="L1" s="4" t="s">
        <v>42</v>
      </c>
      <c r="M1" s="1" t="s">
        <v>47</v>
      </c>
      <c r="N1" s="1" t="s">
        <v>10</v>
      </c>
      <c r="O1" s="1" t="s">
        <v>40</v>
      </c>
      <c r="P1" s="8" t="s">
        <v>46</v>
      </c>
    </row>
    <row r="2" spans="1:16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19.100000000000001</v>
      </c>
      <c r="G2" s="2">
        <f t="shared" ref="G2:G11" si="0">+ROUNDUP(3/4*25.4*IF(B2="Articulada",12,18),-1)</f>
        <v>230</v>
      </c>
      <c r="H2" s="2">
        <v>60</v>
      </c>
      <c r="I2" s="2">
        <v>100</v>
      </c>
      <c r="J2" s="2">
        <v>90</v>
      </c>
      <c r="K2" s="2">
        <v>80</v>
      </c>
      <c r="L2" s="2">
        <v>90</v>
      </c>
      <c r="M2" s="2" t="s">
        <v>16</v>
      </c>
      <c r="N2" s="2" t="s">
        <v>17</v>
      </c>
      <c r="O2" t="str">
        <f t="shared" ref="O2:O30" si="1">+_xlfn.CONCAT(A2,"-",IF(B2="ARTICULADA","ART","EMP"),"-",C2)</f>
        <v>W6x15-ART-1°</v>
      </c>
      <c r="P2" s="6">
        <v>1</v>
      </c>
    </row>
    <row r="3" spans="1:16" x14ac:dyDescent="0.25">
      <c r="A3" s="2" t="s">
        <v>11</v>
      </c>
      <c r="B3" s="2" t="s">
        <v>20</v>
      </c>
      <c r="C3" s="2" t="s">
        <v>13</v>
      </c>
      <c r="D3" s="2" t="s">
        <v>21</v>
      </c>
      <c r="E3" s="2" t="s">
        <v>15</v>
      </c>
      <c r="F3" s="2">
        <v>19.100000000000001</v>
      </c>
      <c r="G3" s="2">
        <f t="shared" si="0"/>
        <v>350</v>
      </c>
      <c r="H3" s="2">
        <v>60</v>
      </c>
      <c r="I3" s="2">
        <v>243</v>
      </c>
      <c r="J3" s="2">
        <v>243</v>
      </c>
      <c r="K3" s="2">
        <v>240</v>
      </c>
      <c r="L3" s="2">
        <v>240</v>
      </c>
      <c r="M3" s="2" t="s">
        <v>16</v>
      </c>
      <c r="N3" s="2" t="s">
        <v>17</v>
      </c>
      <c r="O3" t="str">
        <f t="shared" si="1"/>
        <v>W6x15-EMP-1°</v>
      </c>
      <c r="P3" s="5">
        <v>1</v>
      </c>
    </row>
    <row r="4" spans="1:16" x14ac:dyDescent="0.25">
      <c r="A4" s="2" t="s">
        <v>11</v>
      </c>
      <c r="B4" s="2" t="s">
        <v>20</v>
      </c>
      <c r="C4" s="2" t="s">
        <v>18</v>
      </c>
      <c r="D4" s="2" t="s">
        <v>22</v>
      </c>
      <c r="E4" s="2" t="s">
        <v>15</v>
      </c>
      <c r="F4" s="2">
        <v>19.100000000000001</v>
      </c>
      <c r="G4" s="2">
        <f t="shared" si="0"/>
        <v>350</v>
      </c>
      <c r="H4" s="2">
        <v>60</v>
      </c>
      <c r="I4" s="2">
        <v>293</v>
      </c>
      <c r="J4" s="2">
        <v>293</v>
      </c>
      <c r="K4" s="2">
        <v>250</v>
      </c>
      <c r="L4" s="2">
        <v>250</v>
      </c>
      <c r="M4" s="2" t="s">
        <v>16</v>
      </c>
      <c r="N4" s="2" t="s">
        <v>19</v>
      </c>
      <c r="O4" t="str">
        <f t="shared" si="1"/>
        <v>W6x15-EMP-2°</v>
      </c>
      <c r="P4" s="5">
        <v>1</v>
      </c>
    </row>
    <row r="5" spans="1:16" x14ac:dyDescent="0.25">
      <c r="A5" s="3" t="s">
        <v>23</v>
      </c>
      <c r="B5" s="3" t="s">
        <v>12</v>
      </c>
      <c r="C5" s="3" t="s">
        <v>13</v>
      </c>
      <c r="D5" s="3" t="s">
        <v>24</v>
      </c>
      <c r="E5" s="3" t="s">
        <v>15</v>
      </c>
      <c r="F5" s="3">
        <v>19.100000000000001</v>
      </c>
      <c r="G5" s="2">
        <f t="shared" si="0"/>
        <v>230</v>
      </c>
      <c r="H5" s="2">
        <v>60</v>
      </c>
      <c r="I5" s="3">
        <v>150</v>
      </c>
      <c r="J5" s="3">
        <v>80</v>
      </c>
      <c r="K5" s="3">
        <v>100</v>
      </c>
      <c r="L5" s="2">
        <v>80</v>
      </c>
      <c r="M5" s="2" t="s">
        <v>16</v>
      </c>
      <c r="N5" s="3" t="s">
        <v>17</v>
      </c>
      <c r="O5" t="str">
        <f t="shared" si="1"/>
        <v>W8x18-ART-1°</v>
      </c>
      <c r="P5" s="5">
        <v>1</v>
      </c>
    </row>
    <row r="6" spans="1:16" x14ac:dyDescent="0.25">
      <c r="A6" s="3" t="s">
        <v>23</v>
      </c>
      <c r="B6" s="3" t="s">
        <v>20</v>
      </c>
      <c r="C6" s="3" t="s">
        <v>13</v>
      </c>
      <c r="D6" s="3" t="s">
        <v>48</v>
      </c>
      <c r="E6" s="3" t="s">
        <v>15</v>
      </c>
      <c r="F6" s="3">
        <v>19.100000000000001</v>
      </c>
      <c r="G6" s="2">
        <f t="shared" si="0"/>
        <v>350</v>
      </c>
      <c r="H6" s="2">
        <v>60</v>
      </c>
      <c r="I6" s="3">
        <v>293</v>
      </c>
      <c r="J6" s="3">
        <v>293</v>
      </c>
      <c r="K6" s="3">
        <v>290</v>
      </c>
      <c r="L6" s="2">
        <v>300</v>
      </c>
      <c r="M6" s="2" t="s">
        <v>16</v>
      </c>
      <c r="N6" s="3" t="s">
        <v>17</v>
      </c>
      <c r="O6" t="str">
        <f t="shared" si="1"/>
        <v>W8x18-EMP-1°</v>
      </c>
      <c r="P6" s="5">
        <v>1</v>
      </c>
    </row>
    <row r="7" spans="1:16" x14ac:dyDescent="0.25">
      <c r="A7" s="3" t="s">
        <v>23</v>
      </c>
      <c r="B7" s="3" t="s">
        <v>20</v>
      </c>
      <c r="C7" s="3" t="s">
        <v>18</v>
      </c>
      <c r="D7" s="3" t="s">
        <v>49</v>
      </c>
      <c r="E7" s="3" t="s">
        <v>15</v>
      </c>
      <c r="F7" s="3">
        <v>19.100000000000001</v>
      </c>
      <c r="G7" s="2">
        <f t="shared" si="0"/>
        <v>350</v>
      </c>
      <c r="H7" s="2">
        <v>60</v>
      </c>
      <c r="I7" s="3">
        <v>343</v>
      </c>
      <c r="J7" s="3">
        <v>343</v>
      </c>
      <c r="K7" s="3">
        <v>350</v>
      </c>
      <c r="L7" s="2">
        <v>350</v>
      </c>
      <c r="M7" s="2" t="s">
        <v>16</v>
      </c>
      <c r="N7" s="3" t="s">
        <v>19</v>
      </c>
      <c r="O7" t="str">
        <f t="shared" si="1"/>
        <v>W8x18-EMP-2°</v>
      </c>
      <c r="P7" s="5">
        <v>1</v>
      </c>
    </row>
    <row r="8" spans="1:16" x14ac:dyDescent="0.25">
      <c r="A8" s="2" t="s">
        <v>26</v>
      </c>
      <c r="B8" s="2" t="s">
        <v>12</v>
      </c>
      <c r="C8" s="2" t="s">
        <v>13</v>
      </c>
      <c r="D8" s="2" t="s">
        <v>24</v>
      </c>
      <c r="E8" s="2" t="s">
        <v>15</v>
      </c>
      <c r="F8" s="2">
        <v>19.100000000000001</v>
      </c>
      <c r="G8" s="2">
        <f t="shared" si="0"/>
        <v>230</v>
      </c>
      <c r="H8" s="2">
        <v>60</v>
      </c>
      <c r="I8" s="2">
        <v>150</v>
      </c>
      <c r="J8" s="2">
        <v>150</v>
      </c>
      <c r="K8" s="2">
        <v>90</v>
      </c>
      <c r="L8" s="2">
        <v>80</v>
      </c>
      <c r="M8" s="2" t="s">
        <v>16</v>
      </c>
      <c r="N8" s="2" t="s">
        <v>17</v>
      </c>
      <c r="O8" t="str">
        <f t="shared" si="1"/>
        <v>W8x31-ART-1°</v>
      </c>
      <c r="P8" s="5">
        <v>1</v>
      </c>
    </row>
    <row r="9" spans="1:16" x14ac:dyDescent="0.25">
      <c r="A9" s="2" t="s">
        <v>26</v>
      </c>
      <c r="B9" s="2" t="s">
        <v>12</v>
      </c>
      <c r="C9" s="2" t="s">
        <v>18</v>
      </c>
      <c r="D9" s="2" t="s">
        <v>24</v>
      </c>
      <c r="E9" s="2" t="s">
        <v>15</v>
      </c>
      <c r="F9" s="2">
        <v>19.100000000000001</v>
      </c>
      <c r="G9" s="2">
        <f t="shared" si="0"/>
        <v>230</v>
      </c>
      <c r="H9" s="2">
        <v>60</v>
      </c>
      <c r="I9" s="2">
        <v>150</v>
      </c>
      <c r="J9" s="2">
        <v>150</v>
      </c>
      <c r="K9" s="2">
        <v>90</v>
      </c>
      <c r="L9" s="2">
        <v>100</v>
      </c>
      <c r="M9" s="2" t="s">
        <v>16</v>
      </c>
      <c r="N9" s="2" t="s">
        <v>19</v>
      </c>
      <c r="O9" t="str">
        <f t="shared" si="1"/>
        <v>W8x31-ART-2°</v>
      </c>
      <c r="P9" s="5">
        <v>1</v>
      </c>
    </row>
    <row r="10" spans="1:16" x14ac:dyDescent="0.25">
      <c r="A10" s="2" t="s">
        <v>26</v>
      </c>
      <c r="B10" s="2" t="s">
        <v>20</v>
      </c>
      <c r="C10" s="2" t="s">
        <v>13</v>
      </c>
      <c r="D10" s="2" t="s">
        <v>22</v>
      </c>
      <c r="E10" s="2" t="s">
        <v>15</v>
      </c>
      <c r="F10" s="2">
        <v>19.100000000000001</v>
      </c>
      <c r="G10" s="2">
        <f t="shared" si="0"/>
        <v>350</v>
      </c>
      <c r="H10" s="2">
        <v>60</v>
      </c>
      <c r="I10" s="2">
        <v>293</v>
      </c>
      <c r="J10" s="2">
        <v>293</v>
      </c>
      <c r="K10" s="2">
        <v>270</v>
      </c>
      <c r="L10" s="2">
        <v>270</v>
      </c>
      <c r="M10" s="2" t="s">
        <v>16</v>
      </c>
      <c r="N10" s="2" t="s">
        <v>17</v>
      </c>
      <c r="O10" t="str">
        <f t="shared" si="1"/>
        <v>W8x31-EMP-1°</v>
      </c>
      <c r="P10" s="5">
        <v>1</v>
      </c>
    </row>
    <row r="11" spans="1:16" x14ac:dyDescent="0.25">
      <c r="A11" s="2" t="s">
        <v>26</v>
      </c>
      <c r="B11" s="2" t="s">
        <v>20</v>
      </c>
      <c r="C11" s="2" t="s">
        <v>18</v>
      </c>
      <c r="D11" s="2" t="s">
        <v>25</v>
      </c>
      <c r="E11" s="2" t="s">
        <v>15</v>
      </c>
      <c r="F11" s="2">
        <v>19.100000000000001</v>
      </c>
      <c r="G11" s="2">
        <f t="shared" si="0"/>
        <v>350</v>
      </c>
      <c r="H11" s="2">
        <v>60</v>
      </c>
      <c r="I11" s="2">
        <v>343</v>
      </c>
      <c r="J11" s="2">
        <v>343</v>
      </c>
      <c r="K11" s="2">
        <v>280</v>
      </c>
      <c r="L11" s="2">
        <v>280</v>
      </c>
      <c r="M11" s="2" t="s">
        <v>16</v>
      </c>
      <c r="N11" s="2" t="s">
        <v>19</v>
      </c>
      <c r="O11" t="str">
        <f t="shared" si="1"/>
        <v>W8x31-EMP-2°</v>
      </c>
      <c r="P11" s="5">
        <v>1</v>
      </c>
    </row>
    <row r="12" spans="1:16" x14ac:dyDescent="0.25">
      <c r="A12" s="3" t="s">
        <v>27</v>
      </c>
      <c r="B12" s="3" t="s">
        <v>12</v>
      </c>
      <c r="C12" s="3" t="s">
        <v>13</v>
      </c>
      <c r="D12" s="3" t="s">
        <v>21</v>
      </c>
      <c r="E12" s="3" t="s">
        <v>28</v>
      </c>
      <c r="F12" s="3">
        <v>25.4</v>
      </c>
      <c r="G12" s="2">
        <f t="shared" ref="G12:G18" si="2">+ROUNDUP(25.4*IF(B12="Articulada",12,18),-1)</f>
        <v>310</v>
      </c>
      <c r="H12" s="3">
        <v>90</v>
      </c>
      <c r="I12" s="3">
        <v>200</v>
      </c>
      <c r="J12" s="3">
        <v>150</v>
      </c>
      <c r="K12" s="3">
        <v>160</v>
      </c>
      <c r="L12" s="2">
        <v>150</v>
      </c>
      <c r="M12" s="2" t="s">
        <v>16</v>
      </c>
      <c r="N12" s="3" t="s">
        <v>17</v>
      </c>
      <c r="O12" t="str">
        <f t="shared" si="1"/>
        <v>W10x45-ART-1°</v>
      </c>
      <c r="P12" s="5">
        <v>1</v>
      </c>
    </row>
    <row r="13" spans="1:16" x14ac:dyDescent="0.25">
      <c r="A13" s="3" t="s">
        <v>27</v>
      </c>
      <c r="B13" s="3" t="s">
        <v>20</v>
      </c>
      <c r="C13" s="3" t="s">
        <v>13</v>
      </c>
      <c r="D13" s="3" t="s">
        <v>25</v>
      </c>
      <c r="E13" s="3" t="s">
        <v>28</v>
      </c>
      <c r="F13" s="3">
        <v>25.4</v>
      </c>
      <c r="G13" s="2">
        <f t="shared" si="2"/>
        <v>460</v>
      </c>
      <c r="H13" s="3">
        <v>90</v>
      </c>
      <c r="I13" s="3">
        <v>324</v>
      </c>
      <c r="J13" s="3">
        <v>324</v>
      </c>
      <c r="K13" s="3">
        <v>320</v>
      </c>
      <c r="L13" s="2">
        <v>320</v>
      </c>
      <c r="M13" s="2" t="s">
        <v>16</v>
      </c>
      <c r="N13" s="3" t="s">
        <v>17</v>
      </c>
      <c r="O13" t="str">
        <f t="shared" si="1"/>
        <v>W10x45-EMP-1°</v>
      </c>
      <c r="P13" s="5">
        <v>1</v>
      </c>
    </row>
    <row r="14" spans="1:16" x14ac:dyDescent="0.25">
      <c r="A14" s="3" t="s">
        <v>27</v>
      </c>
      <c r="B14" s="3" t="s">
        <v>20</v>
      </c>
      <c r="C14" s="3" t="s">
        <v>18</v>
      </c>
      <c r="D14" s="3" t="s">
        <v>30</v>
      </c>
      <c r="E14" s="3" t="s">
        <v>28</v>
      </c>
      <c r="F14" s="3">
        <v>25.4</v>
      </c>
      <c r="G14" s="2">
        <f t="shared" si="2"/>
        <v>460</v>
      </c>
      <c r="H14" s="3">
        <v>90</v>
      </c>
      <c r="I14" s="3">
        <v>374</v>
      </c>
      <c r="J14" s="3">
        <v>374</v>
      </c>
      <c r="K14" s="3">
        <v>320</v>
      </c>
      <c r="L14" s="2">
        <v>320</v>
      </c>
      <c r="M14" s="2" t="s">
        <v>16</v>
      </c>
      <c r="N14" s="3" t="s">
        <v>29</v>
      </c>
      <c r="O14" t="str">
        <f t="shared" si="1"/>
        <v>W10x45-EMP-2°</v>
      </c>
      <c r="P14" s="5">
        <v>1</v>
      </c>
    </row>
    <row r="15" spans="1:16" x14ac:dyDescent="0.25">
      <c r="A15" s="2" t="s">
        <v>31</v>
      </c>
      <c r="B15" s="2" t="s">
        <v>12</v>
      </c>
      <c r="C15" s="2" t="s">
        <v>13</v>
      </c>
      <c r="D15" s="2" t="s">
        <v>22</v>
      </c>
      <c r="E15" s="2" t="s">
        <v>28</v>
      </c>
      <c r="F15" s="2">
        <v>25.4</v>
      </c>
      <c r="G15" s="2">
        <f t="shared" si="2"/>
        <v>310</v>
      </c>
      <c r="H15" s="2">
        <v>90</v>
      </c>
      <c r="I15" s="2">
        <v>250</v>
      </c>
      <c r="J15" s="2">
        <v>150</v>
      </c>
      <c r="K15" s="2">
        <v>250</v>
      </c>
      <c r="L15" s="2">
        <v>150</v>
      </c>
      <c r="M15" s="2" t="s">
        <v>16</v>
      </c>
      <c r="N15" s="2" t="s">
        <v>17</v>
      </c>
      <c r="O15" t="str">
        <f t="shared" si="1"/>
        <v>W12x50-ART-1°</v>
      </c>
      <c r="P15" s="5"/>
    </row>
    <row r="16" spans="1:16" x14ac:dyDescent="0.25">
      <c r="A16" s="2" t="s">
        <v>31</v>
      </c>
      <c r="B16" s="2" t="s">
        <v>20</v>
      </c>
      <c r="C16" s="2" t="s">
        <v>13</v>
      </c>
      <c r="D16" s="2" t="s">
        <v>30</v>
      </c>
      <c r="E16" s="2" t="s">
        <v>28</v>
      </c>
      <c r="F16" s="2">
        <v>25.4</v>
      </c>
      <c r="G16" s="2">
        <f t="shared" si="2"/>
        <v>460</v>
      </c>
      <c r="H16" s="2">
        <v>90</v>
      </c>
      <c r="I16" s="2">
        <v>374</v>
      </c>
      <c r="J16" s="2">
        <v>374</v>
      </c>
      <c r="K16" s="2">
        <v>380</v>
      </c>
      <c r="L16" s="2">
        <v>380</v>
      </c>
      <c r="M16" s="2" t="s">
        <v>16</v>
      </c>
      <c r="N16" s="2" t="s">
        <v>17</v>
      </c>
      <c r="O16" t="str">
        <f t="shared" si="1"/>
        <v>W12x50-EMP-1°</v>
      </c>
      <c r="P16" s="5"/>
    </row>
    <row r="17" spans="1:16" x14ac:dyDescent="0.25">
      <c r="A17" s="3" t="s">
        <v>32</v>
      </c>
      <c r="B17" s="3" t="s">
        <v>12</v>
      </c>
      <c r="C17" s="3" t="s">
        <v>13</v>
      </c>
      <c r="D17" s="3" t="s">
        <v>25</v>
      </c>
      <c r="E17" s="3" t="s">
        <v>28</v>
      </c>
      <c r="F17" s="3">
        <v>25.4</v>
      </c>
      <c r="G17" s="2">
        <f t="shared" si="2"/>
        <v>310</v>
      </c>
      <c r="H17" s="3">
        <v>90</v>
      </c>
      <c r="I17" s="3">
        <v>280</v>
      </c>
      <c r="J17" s="3">
        <v>200</v>
      </c>
      <c r="K17" s="3">
        <v>280</v>
      </c>
      <c r="L17" s="2">
        <v>200</v>
      </c>
      <c r="M17" s="2" t="s">
        <v>16</v>
      </c>
      <c r="N17" s="3" t="s">
        <v>17</v>
      </c>
      <c r="O17" t="str">
        <f t="shared" si="1"/>
        <v>W14x74-ART-1°</v>
      </c>
      <c r="P17" s="5"/>
    </row>
    <row r="18" spans="1:16" x14ac:dyDescent="0.25">
      <c r="A18" s="3" t="s">
        <v>32</v>
      </c>
      <c r="B18" s="3" t="s">
        <v>20</v>
      </c>
      <c r="C18" s="3" t="s">
        <v>13</v>
      </c>
      <c r="D18" s="3" t="s">
        <v>30</v>
      </c>
      <c r="E18" s="3" t="s">
        <v>28</v>
      </c>
      <c r="F18" s="3">
        <v>25.4</v>
      </c>
      <c r="G18" s="2">
        <f t="shared" si="2"/>
        <v>460</v>
      </c>
      <c r="H18" s="3">
        <v>90</v>
      </c>
      <c r="I18" s="3">
        <v>360</v>
      </c>
      <c r="J18" s="3">
        <v>374</v>
      </c>
      <c r="K18" s="3">
        <v>360</v>
      </c>
      <c r="L18" s="2">
        <v>380</v>
      </c>
      <c r="M18" s="2" t="s">
        <v>16</v>
      </c>
      <c r="N18" s="3" t="s">
        <v>17</v>
      </c>
      <c r="O18" t="str">
        <f t="shared" si="1"/>
        <v>W14x74-EMP-1°</v>
      </c>
      <c r="P18" s="5"/>
    </row>
    <row r="19" spans="1:16" x14ac:dyDescent="0.25">
      <c r="A19" s="2" t="s">
        <v>33</v>
      </c>
      <c r="B19" s="2" t="s">
        <v>12</v>
      </c>
      <c r="C19" s="2" t="s">
        <v>13</v>
      </c>
      <c r="D19" s="2" t="s">
        <v>14</v>
      </c>
      <c r="E19" s="2" t="s">
        <v>15</v>
      </c>
      <c r="F19" s="2">
        <v>19.100000000000001</v>
      </c>
      <c r="G19" s="2">
        <f>+ROUNDUP(3/4*25.4*IF(B19="Articulada",12,18),-1)</f>
        <v>230</v>
      </c>
      <c r="H19" s="2">
        <v>86</v>
      </c>
      <c r="I19" s="2">
        <v>100</v>
      </c>
      <c r="J19" s="2">
        <v>100</v>
      </c>
      <c r="K19" s="2">
        <v>100</v>
      </c>
      <c r="L19" s="2">
        <v>100</v>
      </c>
      <c r="M19" s="2" t="s">
        <v>16</v>
      </c>
      <c r="N19" s="2" t="s">
        <v>17</v>
      </c>
      <c r="O19" t="str">
        <f t="shared" si="1"/>
        <v>HEB160-ART-1°</v>
      </c>
      <c r="P19" s="5"/>
    </row>
    <row r="20" spans="1:16" x14ac:dyDescent="0.25">
      <c r="A20" s="2" t="s">
        <v>33</v>
      </c>
      <c r="B20" s="2" t="s">
        <v>20</v>
      </c>
      <c r="C20" s="2" t="s">
        <v>13</v>
      </c>
      <c r="D20" s="2" t="s">
        <v>21</v>
      </c>
      <c r="E20" s="2" t="s">
        <v>15</v>
      </c>
      <c r="F20" s="2">
        <v>19.100000000000001</v>
      </c>
      <c r="G20" s="2">
        <f>+ROUNDUP(3/4*25.4*IF(B20="Articulada",12,18),-1)</f>
        <v>350</v>
      </c>
      <c r="H20" s="2">
        <v>86</v>
      </c>
      <c r="I20" s="2">
        <v>243</v>
      </c>
      <c r="J20" s="2">
        <v>243</v>
      </c>
      <c r="K20" s="2">
        <v>250</v>
      </c>
      <c r="L20" s="2">
        <v>250</v>
      </c>
      <c r="M20" s="2" t="s">
        <v>16</v>
      </c>
      <c r="N20" s="2" t="s">
        <v>17</v>
      </c>
      <c r="O20" t="str">
        <f t="shared" si="1"/>
        <v>HEB160-EMP-1°</v>
      </c>
      <c r="P20" s="5"/>
    </row>
    <row r="21" spans="1:16" x14ac:dyDescent="0.25">
      <c r="A21" s="2" t="s">
        <v>33</v>
      </c>
      <c r="B21" s="2" t="s">
        <v>20</v>
      </c>
      <c r="C21" s="2" t="s">
        <v>18</v>
      </c>
      <c r="D21" s="2" t="s">
        <v>22</v>
      </c>
      <c r="E21" s="2" t="s">
        <v>15</v>
      </c>
      <c r="F21" s="2">
        <v>19.100000000000001</v>
      </c>
      <c r="G21" s="2">
        <f>+ROUNDUP(3/4*25.4*IF(B21="Articulada",12,18),-1)</f>
        <v>350</v>
      </c>
      <c r="H21" s="2">
        <v>86</v>
      </c>
      <c r="I21" s="2">
        <v>293</v>
      </c>
      <c r="J21" s="2">
        <v>293</v>
      </c>
      <c r="K21" s="2">
        <v>300</v>
      </c>
      <c r="L21" s="2">
        <v>300</v>
      </c>
      <c r="M21" s="2" t="s">
        <v>16</v>
      </c>
      <c r="N21" s="2" t="s">
        <v>19</v>
      </c>
      <c r="O21" t="str">
        <f t="shared" si="1"/>
        <v>HEB160-EMP-2°</v>
      </c>
      <c r="P21" s="5"/>
    </row>
    <row r="22" spans="1:16" x14ac:dyDescent="0.25">
      <c r="A22" s="3" t="s">
        <v>34</v>
      </c>
      <c r="B22" s="3" t="s">
        <v>12</v>
      </c>
      <c r="C22" s="3" t="s">
        <v>13</v>
      </c>
      <c r="D22" s="3" t="s">
        <v>24</v>
      </c>
      <c r="E22" s="3" t="s">
        <v>28</v>
      </c>
      <c r="F22" s="3">
        <v>25.4</v>
      </c>
      <c r="G22" s="2">
        <f>+ROUNDUP(25.4*IF(B22="Articulada",12,18),-1)</f>
        <v>310</v>
      </c>
      <c r="H22" s="3">
        <v>90</v>
      </c>
      <c r="I22" s="3">
        <v>150</v>
      </c>
      <c r="J22" s="3">
        <v>150</v>
      </c>
      <c r="K22" s="3">
        <v>150</v>
      </c>
      <c r="L22" s="2">
        <v>150</v>
      </c>
      <c r="M22" s="2" t="s">
        <v>16</v>
      </c>
      <c r="N22" s="3" t="s">
        <v>17</v>
      </c>
      <c r="O22" t="str">
        <f t="shared" si="1"/>
        <v>HEB200-ART-1°</v>
      </c>
      <c r="P22" s="5"/>
    </row>
    <row r="23" spans="1:16" x14ac:dyDescent="0.25">
      <c r="A23" s="3" t="s">
        <v>34</v>
      </c>
      <c r="B23" s="3" t="s">
        <v>20</v>
      </c>
      <c r="C23" s="3" t="s">
        <v>13</v>
      </c>
      <c r="D23" s="3" t="s">
        <v>25</v>
      </c>
      <c r="E23" s="3" t="s">
        <v>28</v>
      </c>
      <c r="F23" s="3">
        <v>25.4</v>
      </c>
      <c r="G23" s="2">
        <f>+ROUNDUP(25.4*IF(B23="Articulada",12,18),-1)</f>
        <v>460</v>
      </c>
      <c r="H23" s="3">
        <v>90</v>
      </c>
      <c r="I23" s="3">
        <v>324</v>
      </c>
      <c r="J23" s="3">
        <v>324</v>
      </c>
      <c r="K23" s="3">
        <v>330</v>
      </c>
      <c r="L23" s="2">
        <v>330</v>
      </c>
      <c r="M23" s="2" t="s">
        <v>16</v>
      </c>
      <c r="N23" s="3" t="s">
        <v>17</v>
      </c>
      <c r="O23" t="str">
        <f t="shared" si="1"/>
        <v>HEB200-EMP-1°</v>
      </c>
      <c r="P23" s="5"/>
    </row>
    <row r="24" spans="1:16" x14ac:dyDescent="0.25">
      <c r="A24" s="3" t="s">
        <v>34</v>
      </c>
      <c r="B24" s="3" t="s">
        <v>20</v>
      </c>
      <c r="C24" s="3" t="s">
        <v>18</v>
      </c>
      <c r="D24" s="3" t="s">
        <v>30</v>
      </c>
      <c r="E24" s="3" t="s">
        <v>28</v>
      </c>
      <c r="F24" s="3">
        <v>25.4</v>
      </c>
      <c r="G24" s="2">
        <f>+ROUNDUP(25.4*IF(B24="Articulada",12,18),-1)</f>
        <v>460</v>
      </c>
      <c r="H24" s="3">
        <v>90</v>
      </c>
      <c r="I24" s="3">
        <v>374</v>
      </c>
      <c r="J24" s="3">
        <v>374</v>
      </c>
      <c r="K24" s="3">
        <v>380</v>
      </c>
      <c r="L24" s="2">
        <v>380</v>
      </c>
      <c r="M24" s="2" t="s">
        <v>16</v>
      </c>
      <c r="N24" s="3" t="s">
        <v>29</v>
      </c>
      <c r="O24" t="str">
        <f t="shared" si="1"/>
        <v>HEB200-EMP-2°</v>
      </c>
      <c r="P24" s="5"/>
    </row>
    <row r="25" spans="1:16" x14ac:dyDescent="0.25">
      <c r="A25" s="2" t="s">
        <v>43</v>
      </c>
      <c r="B25" s="2" t="s">
        <v>20</v>
      </c>
      <c r="C25" s="2" t="s">
        <v>13</v>
      </c>
      <c r="D25" s="2" t="s">
        <v>35</v>
      </c>
      <c r="E25" s="2" t="s">
        <v>15</v>
      </c>
      <c r="F25" s="2">
        <v>19.100000000000001</v>
      </c>
      <c r="G25" s="2">
        <f>+ROUNDUP(3/4*25.4*IF(B25="Articulada",12,18),-1)</f>
        <v>350</v>
      </c>
      <c r="H25" s="2">
        <v>86</v>
      </c>
      <c r="I25" s="2">
        <v>193</v>
      </c>
      <c r="J25" s="2">
        <v>143</v>
      </c>
      <c r="K25" s="2">
        <v>200</v>
      </c>
      <c r="L25" s="2">
        <v>150</v>
      </c>
      <c r="M25" s="2" t="s">
        <v>16</v>
      </c>
      <c r="N25" s="2" t="s">
        <v>17</v>
      </c>
      <c r="O25" t="str">
        <f t="shared" si="1"/>
        <v>UPN140C-EMP-1°</v>
      </c>
      <c r="P25" s="5"/>
    </row>
    <row r="26" spans="1:16" x14ac:dyDescent="0.25">
      <c r="A26" s="2" t="s">
        <v>43</v>
      </c>
      <c r="B26" s="2" t="s">
        <v>20</v>
      </c>
      <c r="C26" s="2" t="s">
        <v>18</v>
      </c>
      <c r="D26" s="2" t="s">
        <v>36</v>
      </c>
      <c r="E26" s="2" t="s">
        <v>15</v>
      </c>
      <c r="F26" s="2">
        <v>19.100000000000001</v>
      </c>
      <c r="G26" s="2">
        <f>+ROUNDUP(3/4*25.4*IF(B26="Articulada",12,18),-1)</f>
        <v>350</v>
      </c>
      <c r="H26" s="2">
        <v>86</v>
      </c>
      <c r="I26" s="2">
        <v>243</v>
      </c>
      <c r="J26" s="2">
        <v>193</v>
      </c>
      <c r="K26" s="2">
        <v>250</v>
      </c>
      <c r="L26" s="2">
        <v>200</v>
      </c>
      <c r="M26" s="2" t="s">
        <v>16</v>
      </c>
      <c r="N26" s="2" t="s">
        <v>19</v>
      </c>
      <c r="O26" t="str">
        <f t="shared" si="1"/>
        <v>UPN140C-EMP-2°</v>
      </c>
      <c r="P26" s="5"/>
    </row>
    <row r="27" spans="1:16" x14ac:dyDescent="0.25">
      <c r="A27" s="3" t="s">
        <v>44</v>
      </c>
      <c r="B27" s="3" t="s">
        <v>20</v>
      </c>
      <c r="C27" s="3" t="s">
        <v>13</v>
      </c>
      <c r="D27" s="3" t="s">
        <v>36</v>
      </c>
      <c r="E27" s="3" t="s">
        <v>15</v>
      </c>
      <c r="F27" s="3">
        <v>19.100000000000001</v>
      </c>
      <c r="G27" s="2">
        <f>+ROUNDUP(3/4*25.4*IF(B27="Articulada",12,18),-1)</f>
        <v>350</v>
      </c>
      <c r="H27" s="3">
        <v>86</v>
      </c>
      <c r="I27" s="3">
        <v>243</v>
      </c>
      <c r="J27" s="3">
        <v>193</v>
      </c>
      <c r="K27" s="3">
        <v>250</v>
      </c>
      <c r="L27" s="2">
        <v>200</v>
      </c>
      <c r="M27" s="2" t="s">
        <v>16</v>
      </c>
      <c r="N27" s="3" t="s">
        <v>17</v>
      </c>
      <c r="O27" t="str">
        <f t="shared" si="1"/>
        <v>UPN180C-EMP-1°</v>
      </c>
      <c r="P27" s="5"/>
    </row>
    <row r="28" spans="1:16" x14ac:dyDescent="0.25">
      <c r="A28" s="3" t="s">
        <v>44</v>
      </c>
      <c r="B28" s="3" t="s">
        <v>20</v>
      </c>
      <c r="C28" s="3" t="s">
        <v>18</v>
      </c>
      <c r="D28" s="3" t="s">
        <v>37</v>
      </c>
      <c r="E28" s="3" t="s">
        <v>15</v>
      </c>
      <c r="F28" s="3">
        <v>19.100000000000001</v>
      </c>
      <c r="G28" s="2">
        <f>+ROUNDUP(3/4*25.4*IF(B28="Articulada",12,18),-1)</f>
        <v>350</v>
      </c>
      <c r="H28" s="3">
        <v>86</v>
      </c>
      <c r="I28" s="3">
        <v>293</v>
      </c>
      <c r="J28" s="3">
        <v>243</v>
      </c>
      <c r="K28" s="3">
        <v>300</v>
      </c>
      <c r="L28" s="2">
        <v>250</v>
      </c>
      <c r="M28" s="2" t="s">
        <v>16</v>
      </c>
      <c r="N28" s="3" t="s">
        <v>19</v>
      </c>
      <c r="O28" t="str">
        <f t="shared" si="1"/>
        <v>UPN180C-EMP-2°</v>
      </c>
      <c r="P28" s="5"/>
    </row>
    <row r="29" spans="1:16" x14ac:dyDescent="0.25">
      <c r="A29" s="2" t="s">
        <v>45</v>
      </c>
      <c r="B29" s="2" t="s">
        <v>20</v>
      </c>
      <c r="C29" s="2" t="s">
        <v>13</v>
      </c>
      <c r="D29" s="2" t="s">
        <v>38</v>
      </c>
      <c r="E29" s="2" t="s">
        <v>28</v>
      </c>
      <c r="F29" s="2">
        <v>25.4</v>
      </c>
      <c r="G29" s="2">
        <f>+ROUNDUP(25.4*IF(B29="Articulada",12,18),-1)</f>
        <v>460</v>
      </c>
      <c r="H29" s="3">
        <v>90</v>
      </c>
      <c r="I29" s="2">
        <v>324</v>
      </c>
      <c r="J29" s="2">
        <v>224</v>
      </c>
      <c r="K29" s="2">
        <v>330</v>
      </c>
      <c r="L29" s="2">
        <v>230</v>
      </c>
      <c r="M29" s="2" t="s">
        <v>16</v>
      </c>
      <c r="N29" s="2" t="s">
        <v>17</v>
      </c>
      <c r="O29" t="str">
        <f t="shared" si="1"/>
        <v>UPN220C-EMP-1°</v>
      </c>
      <c r="P29" s="5"/>
    </row>
    <row r="30" spans="1:16" x14ac:dyDescent="0.25">
      <c r="A30" s="2" t="s">
        <v>45</v>
      </c>
      <c r="B30" s="2" t="s">
        <v>20</v>
      </c>
      <c r="C30" s="2" t="s">
        <v>18</v>
      </c>
      <c r="D30" s="2" t="s">
        <v>39</v>
      </c>
      <c r="E30" s="2" t="s">
        <v>28</v>
      </c>
      <c r="F30" s="2">
        <v>25.4</v>
      </c>
      <c r="G30" s="2">
        <f>+ROUNDUP(25.4*IF(B30="Articulada",12,18),-1)</f>
        <v>460</v>
      </c>
      <c r="H30" s="3">
        <v>90</v>
      </c>
      <c r="I30" s="2">
        <v>374</v>
      </c>
      <c r="J30" s="2">
        <v>274</v>
      </c>
      <c r="K30" s="2">
        <v>380</v>
      </c>
      <c r="L30" s="2">
        <v>280</v>
      </c>
      <c r="M30" s="2" t="s">
        <v>16</v>
      </c>
      <c r="N30" s="2" t="s">
        <v>29</v>
      </c>
      <c r="O30" t="str">
        <f t="shared" si="1"/>
        <v>UPN220C-EMP-2°</v>
      </c>
      <c r="P30" s="7"/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Agustin Diez - 348 - AGD</cp:lastModifiedBy>
  <dcterms:created xsi:type="dcterms:W3CDTF">2026-05-13T15:53:59Z</dcterms:created>
  <dcterms:modified xsi:type="dcterms:W3CDTF">2026-05-22T20:17:59Z</dcterms:modified>
</cp:coreProperties>
</file>